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/Users/halimlka/Desktop/"/>
    </mc:Choice>
  </mc:AlternateContent>
  <xr:revisionPtr revIDLastSave="0" documentId="8_{8B653122-6B07-5C48-9A47-27CB804A80B8}" xr6:coauthVersionLast="47" xr6:coauthVersionMax="47" xr10:uidLastSave="{00000000-0000-0000-0000-000000000000}"/>
  <bookViews>
    <workbookView xWindow="0" yWindow="0" windowWidth="28800" windowHeight="18000" xr2:uid="{6B79F5A4-3202-BD44-8BCB-2CA9BD380AC1}"/>
  </bookViews>
  <sheets>
    <sheet name="Главная" sheetId="9" r:id="rId1"/>
    <sheet name="Когорты" sheetId="10" r:id="rId2"/>
    <sheet name="Сценарии" sheetId="1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11" l="1"/>
  <c r="E6" i="11"/>
  <c r="D6" i="11"/>
  <c r="C6" i="11"/>
  <c r="B6" i="11"/>
  <c r="E5" i="11"/>
  <c r="D5" i="11"/>
  <c r="C5" i="11"/>
  <c r="B5" i="11"/>
  <c r="B4" i="11"/>
  <c r="E6" i="10"/>
  <c r="E7" i="10" s="1"/>
  <c r="E8" i="10" s="1"/>
  <c r="E9" i="10" s="1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5" i="10"/>
  <c r="E4" i="10"/>
  <c r="D27" i="10"/>
  <c r="C27" i="10"/>
  <c r="B27" i="10"/>
  <c r="D26" i="10"/>
  <c r="C26" i="10"/>
  <c r="B26" i="10"/>
  <c r="D25" i="10"/>
  <c r="C25" i="10"/>
  <c r="B25" i="10"/>
  <c r="D24" i="10"/>
  <c r="C24" i="10"/>
  <c r="B24" i="10"/>
  <c r="D23" i="10"/>
  <c r="C23" i="10"/>
  <c r="B23" i="10"/>
  <c r="D22" i="10"/>
  <c r="C22" i="10"/>
  <c r="B22" i="10"/>
  <c r="D21" i="10"/>
  <c r="C21" i="10"/>
  <c r="B21" i="10"/>
  <c r="D20" i="10"/>
  <c r="C20" i="10"/>
  <c r="B20" i="10"/>
  <c r="D19" i="10"/>
  <c r="C19" i="10"/>
  <c r="B19" i="10"/>
  <c r="D18" i="10"/>
  <c r="C18" i="10"/>
  <c r="B18" i="10"/>
  <c r="D17" i="10"/>
  <c r="C17" i="10"/>
  <c r="B17" i="10"/>
  <c r="D16" i="10"/>
  <c r="C16" i="10"/>
  <c r="B16" i="10"/>
  <c r="D15" i="10"/>
  <c r="C15" i="10"/>
  <c r="B15" i="10"/>
  <c r="D14" i="10"/>
  <c r="C14" i="10"/>
  <c r="B14" i="10"/>
  <c r="D13" i="10"/>
  <c r="C13" i="10"/>
  <c r="B13" i="10"/>
  <c r="D12" i="10"/>
  <c r="C12" i="10"/>
  <c r="B12" i="10"/>
  <c r="D11" i="10"/>
  <c r="C11" i="10"/>
  <c r="B11" i="10"/>
  <c r="D10" i="10"/>
  <c r="C10" i="10"/>
  <c r="B10" i="10"/>
  <c r="D9" i="10"/>
  <c r="C9" i="10"/>
  <c r="B9" i="10"/>
  <c r="D8" i="10"/>
  <c r="C8" i="10"/>
  <c r="B8" i="10"/>
  <c r="D7" i="10"/>
  <c r="C7" i="10"/>
  <c r="B7" i="10"/>
  <c r="D6" i="10"/>
  <c r="C6" i="10"/>
  <c r="B6" i="10"/>
  <c r="D5" i="10"/>
  <c r="C5" i="10"/>
  <c r="B5" i="10"/>
  <c r="D4" i="10"/>
  <c r="C4" i="10"/>
  <c r="B4" i="10"/>
  <c r="G13" i="9"/>
  <c r="E13" i="9"/>
  <c r="G8" i="9"/>
  <c r="E8" i="9"/>
  <c r="B19" i="9"/>
  <c r="B18" i="9"/>
  <c r="B17" i="9"/>
  <c r="B16" i="9"/>
  <c r="B15" i="9"/>
  <c r="B14" i="9"/>
</calcChain>
</file>

<file path=xl/sharedStrings.xml><?xml version="1.0" encoding="utf-8"?>
<sst xmlns="http://schemas.openxmlformats.org/spreadsheetml/2006/main" count="69" uniqueCount="54">
  <si>
    <t>ФИНАНСОВАЯ МОДЕЛЬ ЮНИТ-ЭКОНОМИКИ МАРКЕТПЛЕЙСА</t>
  </si>
  <si>
    <t>?? ВХОДНЫЕ ПАРАМЕТРЫ</t>
  </si>
  <si>
    <t>Параметр</t>
  </si>
  <si>
    <t>Значение</t>
  </si>
  <si>
    <t>Ед. изм.</t>
  </si>
  <si>
    <t>Описание</t>
  </si>
  <si>
    <t>Бюджет на привлечение</t>
  </si>
  <si>
    <t>?</t>
  </si>
  <si>
    <t>Общий бюджет на маркетинг</t>
  </si>
  <si>
    <t>Количество продавцов</t>
  </si>
  <si>
    <t>чел</t>
  </si>
  <si>
    <t>План по привлечению</t>
  </si>
  <si>
    <t>Средний оборот продавца</t>
  </si>
  <si>
    <t>?/мес</t>
  </si>
  <si>
    <t>Выручка продавца в месяц</t>
  </si>
  <si>
    <t>Комиссия площадки</t>
  </si>
  <si>
    <t>%</t>
  </si>
  <si>
    <t>Процент от оборота</t>
  </si>
  <si>
    <t>Средний срок жизни</t>
  </si>
  <si>
    <t>мес</t>
  </si>
  <si>
    <t>Время сотрудничества</t>
  </si>
  <si>
    <t>Операционные расходы</t>
  </si>
  <si>
    <t>Расходы на обслуживание</t>
  </si>
  <si>
    <t>Показатель</t>
  </si>
  <si>
    <t>CAC (стоимость привлечения)</t>
  </si>
  <si>
    <t>?/продавец</t>
  </si>
  <si>
    <t>LTV (пожизненная ценность)</t>
  </si>
  <si>
    <t>Срок окупаемости (PBP)</t>
  </si>
  <si>
    <t>Маржа на продавца</t>
  </si>
  <si>
    <t>Общая прибыль</t>
  </si>
  <si>
    <t>ROMI</t>
  </si>
  <si>
    <t>КЛЮЧЕВЫЕ ПОКАЗАТЕЛИ</t>
  </si>
  <si>
    <t>CAC</t>
  </si>
  <si>
    <t>стоимость привлечения</t>
  </si>
  <si>
    <t>LTV</t>
  </si>
  <si>
    <t>пожизненная ценность</t>
  </si>
  <si>
    <t>PBP</t>
  </si>
  <si>
    <t>срок окупаемости</t>
  </si>
  <si>
    <t>месяцев</t>
  </si>
  <si>
    <t>возврат инвестиций</t>
  </si>
  <si>
    <t>КОГОРТНЫЙ АНАЛИЗ ДОХОДОВ</t>
  </si>
  <si>
    <t>Месяц</t>
  </si>
  <si>
    <t>Оборот</t>
  </si>
  <si>
    <t>Комиссия</t>
  </si>
  <si>
    <t>Доход</t>
  </si>
  <si>
    <t>Накоплено</t>
  </si>
  <si>
    <t>СРАВНЕНИЕ СЦЕНАРИЕВ</t>
  </si>
  <si>
    <t>Базовый</t>
  </si>
  <si>
    <t>Агрессивный</t>
  </si>
  <si>
    <t>Премиум</t>
  </si>
  <si>
    <t>Дискаунтер</t>
  </si>
  <si>
    <t>Окупаемость</t>
  </si>
  <si>
    <t>ВЫВОД:</t>
  </si>
  <si>
    <t>ВЫХОДНЫЕ РЕЗУЛЬТАТЫ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</si>
</sst>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Calibri"/>
      <family val="2"/>
      <charset val="204"/>
      <scheme val="minor"/>
    </font>
    <font>
      <b/>
      <sz val="20"/>
      <color rgb="FFFFFFFF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FFFF"/>
      <name val="Calibri"/>
      <family val="2"/>
      <charset val="204"/>
      <scheme val="minor"/>
    </font>
    <font>
      <sz val="14"/>
      <color rgb="FFFFFFFF"/>
      <name val="Calibri"/>
      <family val="2"/>
      <charset val="204"/>
      <scheme val="minor"/>
    </font>
    <font>
      <b/>
      <sz val="24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2EFFF"/>
        <bgColor indexed="64"/>
      </patternFill>
    </fill>
    <fill>
      <patternFill patternType="solid">
        <fgColor rgb="FF00994C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66339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3" fillId="3" borderId="1" xfId="0" applyFont="1" applyFill="1" applyBorder="1"/>
    <xf numFmtId="3" fontId="3" fillId="4" borderId="0" xfId="0" applyNumberFormat="1" applyFont="1" applyFill="1"/>
    <xf numFmtId="9" fontId="3" fillId="4" borderId="0" xfId="0" applyNumberFormat="1" applyFont="1" applyFill="1"/>
    <xf numFmtId="3" fontId="3" fillId="5" borderId="0" xfId="0" applyNumberFormat="1" applyFont="1" applyFill="1"/>
    <xf numFmtId="164" fontId="3" fillId="5" borderId="0" xfId="0" applyNumberFormat="1" applyFont="1" applyFill="1"/>
    <xf numFmtId="9" fontId="3" fillId="5" borderId="0" xfId="0" applyNumberFormat="1" applyFont="1" applyFill="1"/>
    <xf numFmtId="0" fontId="4" fillId="2" borderId="2" xfId="0" applyFont="1" applyFill="1" applyBorder="1"/>
    <xf numFmtId="0" fontId="4" fillId="2" borderId="3" xfId="0" applyFont="1" applyFill="1" applyBorder="1"/>
    <xf numFmtId="0" fontId="5" fillId="2" borderId="2" xfId="0" applyFont="1" applyFill="1" applyBorder="1"/>
    <xf numFmtId="3" fontId="6" fillId="2" borderId="2" xfId="0" applyNumberFormat="1" applyFont="1" applyFill="1" applyBorder="1"/>
    <xf numFmtId="0" fontId="4" fillId="6" borderId="0" xfId="0" applyFont="1" applyFill="1"/>
    <xf numFmtId="0" fontId="4" fillId="6" borderId="4" xfId="0" applyFont="1" applyFill="1" applyBorder="1"/>
    <xf numFmtId="0" fontId="5" fillId="6" borderId="4" xfId="0" applyFont="1" applyFill="1" applyBorder="1"/>
    <xf numFmtId="3" fontId="6" fillId="6" borderId="4" xfId="0" applyNumberFormat="1" applyFont="1" applyFill="1" applyBorder="1"/>
    <xf numFmtId="0" fontId="4" fillId="7" borderId="0" xfId="0" applyFont="1" applyFill="1"/>
    <xf numFmtId="0" fontId="5" fillId="7" borderId="0" xfId="0" applyFont="1" applyFill="1"/>
    <xf numFmtId="164" fontId="6" fillId="7" borderId="0" xfId="0" applyNumberFormat="1" applyFont="1" applyFill="1"/>
    <xf numFmtId="0" fontId="4" fillId="8" borderId="0" xfId="0" applyFont="1" applyFill="1"/>
    <xf numFmtId="0" fontId="5" fillId="8" borderId="0" xfId="0" applyFont="1" applyFill="1"/>
    <xf numFmtId="9" fontId="6" fillId="8" borderId="0" xfId="0" applyNumberFormat="1" applyFont="1" applyFill="1"/>
    <xf numFmtId="0" fontId="7" fillId="0" borderId="0" xfId="0" applyFont="1"/>
    <xf numFmtId="3" fontId="0" fillId="0" borderId="0" xfId="0" applyNumberFormat="1"/>
    <xf numFmtId="9" fontId="0" fillId="0" borderId="0" xfId="0" applyNumberFormat="1"/>
    <xf numFmtId="3" fontId="0" fillId="0" borderId="0" xfId="0" applyNumberFormat="1" applyAlignment="1">
      <alignment horizontal="center"/>
    </xf>
  </cellXfs>
  <cellStyles count="1">
    <cellStyle name="Обычный" xfId="0" builtinId="0"/>
  </cellStyles>
  <dxfs count="3">
    <dxf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Кумулятивный  поток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Когорты!$A$3</c:f>
              <c:strCache>
                <c:ptCount val="1"/>
                <c:pt idx="0">
                  <c:v>Месяц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Когорты!$A$4:$A$27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0D-1A47-8F79-BF2402BCF1D5}"/>
            </c:ext>
          </c:extLst>
        </c:ser>
        <c:ser>
          <c:idx val="1"/>
          <c:order val="1"/>
          <c:tx>
            <c:strRef>
              <c:f>Когорты!$E$3</c:f>
              <c:strCache>
                <c:ptCount val="1"/>
                <c:pt idx="0">
                  <c:v>Накоплено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Когорты!$E$4:$E$27</c:f>
              <c:numCache>
                <c:formatCode>General</c:formatCode>
                <c:ptCount val="24"/>
                <c:pt idx="0">
                  <c:v>15000</c:v>
                </c:pt>
                <c:pt idx="1">
                  <c:v>30000</c:v>
                </c:pt>
                <c:pt idx="2">
                  <c:v>45000</c:v>
                </c:pt>
                <c:pt idx="3">
                  <c:v>60000</c:v>
                </c:pt>
                <c:pt idx="4">
                  <c:v>75000</c:v>
                </c:pt>
                <c:pt idx="5">
                  <c:v>90000</c:v>
                </c:pt>
                <c:pt idx="6">
                  <c:v>105000</c:v>
                </c:pt>
                <c:pt idx="7">
                  <c:v>120000</c:v>
                </c:pt>
                <c:pt idx="8">
                  <c:v>135000</c:v>
                </c:pt>
                <c:pt idx="9">
                  <c:v>150000</c:v>
                </c:pt>
                <c:pt idx="10">
                  <c:v>165000</c:v>
                </c:pt>
                <c:pt idx="11">
                  <c:v>180000</c:v>
                </c:pt>
                <c:pt idx="12">
                  <c:v>195000</c:v>
                </c:pt>
                <c:pt idx="13">
                  <c:v>210000</c:v>
                </c:pt>
                <c:pt idx="14">
                  <c:v>225000</c:v>
                </c:pt>
                <c:pt idx="15">
                  <c:v>240000</c:v>
                </c:pt>
                <c:pt idx="16">
                  <c:v>255000</c:v>
                </c:pt>
                <c:pt idx="17">
                  <c:v>270000</c:v>
                </c:pt>
                <c:pt idx="18">
                  <c:v>285000</c:v>
                </c:pt>
                <c:pt idx="19">
                  <c:v>300000</c:v>
                </c:pt>
                <c:pt idx="20">
                  <c:v>315000</c:v>
                </c:pt>
                <c:pt idx="21">
                  <c:v>330000</c:v>
                </c:pt>
                <c:pt idx="22">
                  <c:v>345000</c:v>
                </c:pt>
                <c:pt idx="23">
                  <c:v>360000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0D-1A47-8F79-BF2402BCF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992175"/>
        <c:axId val="347355055"/>
      </c:lineChart>
      <c:catAx>
        <c:axId val="347992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7355055"/>
        <c:crosses val="autoZero"/>
        <c:auto val="1"/>
        <c:lblAlgn val="ctr"/>
        <c:lblOffset val="100"/>
        <c:noMultiLvlLbl val="0"/>
      </c:catAx>
      <c:valAx>
        <c:axId val="34735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799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11</xdr:row>
      <xdr:rowOff>107950</xdr:rowOff>
    </xdr:from>
    <xdr:to>
      <xdr:col>13</xdr:col>
      <xdr:colOff>552450</xdr:colOff>
      <xdr:row>25</xdr:row>
      <xdr:rowOff>6350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F88A4AB-DE96-0E48-A136-1BC47E70D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A999-D94C-A64B-AED1-899E645C2FF9}">
  <sheetPr codeName="Лист9"/>
  <dimension ref="A1:H19"/>
  <sheetViews>
    <sheetView tabSelected="1" topLeftCell="A9" workbookViewId="0">
      <selection activeCell="B16" sqref="B16"/>
    </sheetView>
  </sheetViews>
  <sheetFormatPr baseColWidth="10" defaultRowHeight="16" x14ac:dyDescent="0.2"/>
  <cols>
    <col min="1" max="1" width="30.83203125" customWidth="1"/>
    <col min="2" max="2" width="15.83203125" customWidth="1"/>
    <col min="4" max="4" width="30.83203125" customWidth="1"/>
    <col min="5" max="8" width="15.83203125" customWidth="1"/>
  </cols>
  <sheetData>
    <row r="1" spans="1:8" ht="40" customHeight="1" x14ac:dyDescent="0.2">
      <c r="A1" s="1" t="s">
        <v>0</v>
      </c>
      <c r="B1" s="1"/>
      <c r="C1" s="1"/>
      <c r="D1" s="1"/>
      <c r="E1" s="1"/>
      <c r="F1" s="1"/>
    </row>
    <row r="3" spans="1:8" ht="19" x14ac:dyDescent="0.25">
      <c r="A3" s="2" t="s">
        <v>1</v>
      </c>
    </row>
    <row r="4" spans="1:8" x14ac:dyDescent="0.2">
      <c r="A4" s="4" t="s">
        <v>2</v>
      </c>
      <c r="B4" s="4" t="s">
        <v>3</v>
      </c>
      <c r="C4" s="4" t="s">
        <v>4</v>
      </c>
      <c r="D4" s="4" t="s">
        <v>5</v>
      </c>
    </row>
    <row r="5" spans="1:8" ht="19" x14ac:dyDescent="0.25">
      <c r="A5" t="s">
        <v>6</v>
      </c>
      <c r="B5" s="5">
        <v>1000000</v>
      </c>
      <c r="C5" t="s">
        <v>7</v>
      </c>
      <c r="D5" t="s">
        <v>8</v>
      </c>
      <c r="E5" s="2" t="s">
        <v>31</v>
      </c>
    </row>
    <row r="6" spans="1:8" x14ac:dyDescent="0.2">
      <c r="A6" t="s">
        <v>9</v>
      </c>
      <c r="B6" s="5">
        <v>100</v>
      </c>
      <c r="C6" t="s">
        <v>10</v>
      </c>
      <c r="D6" t="s">
        <v>11</v>
      </c>
    </row>
    <row r="7" spans="1:8" ht="19" x14ac:dyDescent="0.25">
      <c r="A7" t="s">
        <v>12</v>
      </c>
      <c r="B7" s="5">
        <v>150000</v>
      </c>
      <c r="C7" t="s">
        <v>13</v>
      </c>
      <c r="D7" t="s">
        <v>14</v>
      </c>
      <c r="E7" s="12" t="s">
        <v>32</v>
      </c>
      <c r="F7" s="11"/>
      <c r="G7" s="16" t="s">
        <v>34</v>
      </c>
      <c r="H7" s="14"/>
    </row>
    <row r="8" spans="1:8" ht="31" x14ac:dyDescent="0.35">
      <c r="A8" t="s">
        <v>15</v>
      </c>
      <c r="B8" s="6">
        <v>0.1</v>
      </c>
      <c r="C8" t="s">
        <v>16</v>
      </c>
      <c r="D8" t="s">
        <v>17</v>
      </c>
      <c r="E8" s="13">
        <f>B14</f>
        <v>10000</v>
      </c>
      <c r="F8" s="11"/>
      <c r="G8" s="17">
        <f>B15</f>
        <v>360000</v>
      </c>
      <c r="H8" s="14"/>
    </row>
    <row r="9" spans="1:8" x14ac:dyDescent="0.2">
      <c r="A9" t="s">
        <v>18</v>
      </c>
      <c r="B9" s="6">
        <v>24</v>
      </c>
      <c r="C9" t="s">
        <v>19</v>
      </c>
      <c r="D9" t="s">
        <v>20</v>
      </c>
      <c r="E9" s="10" t="s">
        <v>33</v>
      </c>
      <c r="F9" s="11"/>
      <c r="G9" s="15" t="s">
        <v>35</v>
      </c>
      <c r="H9" s="14"/>
    </row>
    <row r="10" spans="1:8" x14ac:dyDescent="0.2">
      <c r="A10" t="s">
        <v>21</v>
      </c>
      <c r="B10" s="6">
        <v>0.15</v>
      </c>
      <c r="C10" t="s">
        <v>16</v>
      </c>
      <c r="D10" t="s">
        <v>22</v>
      </c>
      <c r="E10" s="10" t="s">
        <v>25</v>
      </c>
      <c r="F10" s="11"/>
      <c r="G10" s="15" t="s">
        <v>7</v>
      </c>
      <c r="H10" s="14"/>
    </row>
    <row r="12" spans="1:8" ht="19" x14ac:dyDescent="0.25">
      <c r="A12" s="2" t="s">
        <v>53</v>
      </c>
      <c r="E12" s="19" t="s">
        <v>36</v>
      </c>
      <c r="F12" s="18"/>
      <c r="G12" s="22" t="s">
        <v>30</v>
      </c>
      <c r="H12" s="21"/>
    </row>
    <row r="13" spans="1:8" ht="31" x14ac:dyDescent="0.35">
      <c r="A13" s="3" t="s">
        <v>23</v>
      </c>
      <c r="B13" s="3" t="s">
        <v>3</v>
      </c>
      <c r="C13" s="3" t="s">
        <v>4</v>
      </c>
      <c r="E13" s="20">
        <f>B16</f>
        <v>0.66666666666666663</v>
      </c>
      <c r="F13" s="18"/>
      <c r="G13" s="23">
        <f>B19</f>
        <v>35</v>
      </c>
      <c r="H13" s="21"/>
    </row>
    <row r="14" spans="1:8" x14ac:dyDescent="0.2">
      <c r="A14" t="s">
        <v>24</v>
      </c>
      <c r="B14" s="7">
        <f>B5/B6</f>
        <v>10000</v>
      </c>
      <c r="C14" t="s">
        <v>25</v>
      </c>
      <c r="E14" s="18" t="s">
        <v>37</v>
      </c>
      <c r="F14" s="18"/>
      <c r="G14" s="21" t="s">
        <v>39</v>
      </c>
      <c r="H14" s="21"/>
    </row>
    <row r="15" spans="1:8" x14ac:dyDescent="0.2">
      <c r="A15" t="s">
        <v>26</v>
      </c>
      <c r="B15" s="7">
        <f>(B7*B8)*B9</f>
        <v>360000</v>
      </c>
      <c r="C15" t="s">
        <v>7</v>
      </c>
      <c r="E15" s="18" t="s">
        <v>38</v>
      </c>
      <c r="F15" s="18"/>
      <c r="G15" s="21" t="s">
        <v>16</v>
      </c>
      <c r="H15" s="21"/>
    </row>
    <row r="16" spans="1:8" x14ac:dyDescent="0.2">
      <c r="A16" t="s">
        <v>27</v>
      </c>
      <c r="B16" s="8">
        <f>B14/(B7*B8)</f>
        <v>0.66666666666666663</v>
      </c>
      <c r="C16" t="s">
        <v>19</v>
      </c>
    </row>
    <row r="17" spans="1:3" x14ac:dyDescent="0.2">
      <c r="A17" t="s">
        <v>28</v>
      </c>
      <c r="B17" s="7">
        <f>B15-B14</f>
        <v>350000</v>
      </c>
      <c r="C17" t="s">
        <v>7</v>
      </c>
    </row>
    <row r="18" spans="1:3" x14ac:dyDescent="0.2">
      <c r="A18" t="s">
        <v>29</v>
      </c>
      <c r="B18" s="7">
        <f>B17*B6*(1-B10)</f>
        <v>29750000</v>
      </c>
      <c r="C18" t="s">
        <v>7</v>
      </c>
    </row>
    <row r="19" spans="1:3" x14ac:dyDescent="0.2">
      <c r="A19" t="s">
        <v>30</v>
      </c>
      <c r="B19" s="9">
        <f>(B15-B14)/B14</f>
        <v>35</v>
      </c>
      <c r="C19" t="s">
        <v>16</v>
      </c>
    </row>
  </sheetData>
  <mergeCells count="17">
    <mergeCell ref="E12:F12"/>
    <mergeCell ref="E13:F13"/>
    <mergeCell ref="E14:F14"/>
    <mergeCell ref="E15:F15"/>
    <mergeCell ref="G12:H12"/>
    <mergeCell ref="G13:H13"/>
    <mergeCell ref="G14:H14"/>
    <mergeCell ref="G15:H15"/>
    <mergeCell ref="A1:F1"/>
    <mergeCell ref="E7:F7"/>
    <mergeCell ref="E8:F8"/>
    <mergeCell ref="E9:F9"/>
    <mergeCell ref="E10:F10"/>
    <mergeCell ref="G7:H7"/>
    <mergeCell ref="G8:H8"/>
    <mergeCell ref="G9:H9"/>
    <mergeCell ref="G10:H10"/>
  </mergeCells>
  <conditionalFormatting sqref="B16">
    <cfRule type="cellIs" dxfId="2" priority="1" stopIfTrue="1" operator="lessThan">
      <formula>6</formula>
    </cfRule>
    <cfRule type="cellIs" dxfId="1" priority="2" stopIfTrue="1" operator="between">
      <formula>6</formula>
      <formula>12</formula>
    </cfRule>
    <cfRule type="cellIs" dxfId="0" priority="3" stopIfTrue="1" operator="greaterThan">
      <formula>12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B0F7A-4DC1-9940-AF58-87F8BD7C32B7}">
  <sheetPr codeName="Лист10"/>
  <dimension ref="A1:E27"/>
  <sheetViews>
    <sheetView workbookViewId="0">
      <selection activeCell="A3" sqref="A3:A27 E3:E27"/>
    </sheetView>
  </sheetViews>
  <sheetFormatPr baseColWidth="10" defaultRowHeight="16" x14ac:dyDescent="0.2"/>
  <sheetData>
    <row r="1" spans="1:5" ht="21" x14ac:dyDescent="0.25">
      <c r="A1" s="24" t="s">
        <v>40</v>
      </c>
    </row>
    <row r="3" spans="1:5" x14ac:dyDescent="0.2">
      <c r="A3" t="s">
        <v>41</v>
      </c>
      <c r="B3" t="s">
        <v>42</v>
      </c>
      <c r="C3" t="s">
        <v>43</v>
      </c>
      <c r="D3" t="s">
        <v>44</v>
      </c>
      <c r="E3" t="s">
        <v>45</v>
      </c>
    </row>
    <row r="4" spans="1:5" x14ac:dyDescent="0.2">
      <c r="A4">
        <v>1</v>
      </c>
      <c r="B4" s="25">
        <f>Главная!$B$7</f>
        <v>150000</v>
      </c>
      <c r="C4" s="26">
        <f>Главная!$B$8</f>
        <v>0.1</v>
      </c>
      <c r="D4">
        <f>B4*C4</f>
        <v>15000</v>
      </c>
      <c r="E4">
        <f>D4</f>
        <v>15000</v>
      </c>
    </row>
    <row r="5" spans="1:5" x14ac:dyDescent="0.2">
      <c r="A5">
        <v>2</v>
      </c>
      <c r="B5" s="25">
        <f>Главная!$B$7</f>
        <v>150000</v>
      </c>
      <c r="C5" s="26">
        <f>Главная!$B$8</f>
        <v>0.1</v>
      </c>
      <c r="D5">
        <f>B5*C5</f>
        <v>15000</v>
      </c>
      <c r="E5">
        <f>E4+D5</f>
        <v>30000</v>
      </c>
    </row>
    <row r="6" spans="1:5" x14ac:dyDescent="0.2">
      <c r="A6">
        <v>3</v>
      </c>
      <c r="B6" s="25">
        <f>Главная!$B$7</f>
        <v>150000</v>
      </c>
      <c r="C6" s="26">
        <f>Главная!$B$8</f>
        <v>0.1</v>
      </c>
      <c r="D6">
        <f>B6*C6</f>
        <v>15000</v>
      </c>
      <c r="E6">
        <f t="shared" ref="E6:E27" si="0">E5+D6</f>
        <v>45000</v>
      </c>
    </row>
    <row r="7" spans="1:5" x14ac:dyDescent="0.2">
      <c r="A7">
        <v>4</v>
      </c>
      <c r="B7" s="25">
        <f>Главная!$B$7</f>
        <v>150000</v>
      </c>
      <c r="C7" s="26">
        <f>Главная!$B$8</f>
        <v>0.1</v>
      </c>
      <c r="D7">
        <f>B7*C7</f>
        <v>15000</v>
      </c>
      <c r="E7">
        <f t="shared" si="0"/>
        <v>60000</v>
      </c>
    </row>
    <row r="8" spans="1:5" x14ac:dyDescent="0.2">
      <c r="A8">
        <v>5</v>
      </c>
      <c r="B8" s="25">
        <f>Главная!$B$7</f>
        <v>150000</v>
      </c>
      <c r="C8" s="26">
        <f>Главная!$B$8</f>
        <v>0.1</v>
      </c>
      <c r="D8">
        <f>B8*C8</f>
        <v>15000</v>
      </c>
      <c r="E8">
        <f t="shared" si="0"/>
        <v>75000</v>
      </c>
    </row>
    <row r="9" spans="1:5" x14ac:dyDescent="0.2">
      <c r="A9">
        <v>6</v>
      </c>
      <c r="B9" s="25">
        <f>Главная!$B$7</f>
        <v>150000</v>
      </c>
      <c r="C9" s="26">
        <f>Главная!$B$8</f>
        <v>0.1</v>
      </c>
      <c r="D9">
        <f>B9*C9</f>
        <v>15000</v>
      </c>
      <c r="E9">
        <f t="shared" si="0"/>
        <v>90000</v>
      </c>
    </row>
    <row r="10" spans="1:5" x14ac:dyDescent="0.2">
      <c r="A10">
        <v>7</v>
      </c>
      <c r="B10" s="25">
        <f>Главная!$B$7</f>
        <v>150000</v>
      </c>
      <c r="C10" s="26">
        <f>Главная!$B$8</f>
        <v>0.1</v>
      </c>
      <c r="D10">
        <f>B10*C10</f>
        <v>15000</v>
      </c>
      <c r="E10">
        <f t="shared" si="0"/>
        <v>105000</v>
      </c>
    </row>
    <row r="11" spans="1:5" x14ac:dyDescent="0.2">
      <c r="A11">
        <v>8</v>
      </c>
      <c r="B11" s="25">
        <f>Главная!$B$7</f>
        <v>150000</v>
      </c>
      <c r="C11" s="26">
        <f>Главная!$B$8</f>
        <v>0.1</v>
      </c>
      <c r="D11">
        <f>B11*C11</f>
        <v>15000</v>
      </c>
      <c r="E11">
        <f t="shared" si="0"/>
        <v>120000</v>
      </c>
    </row>
    <row r="12" spans="1:5" x14ac:dyDescent="0.2">
      <c r="A12">
        <v>9</v>
      </c>
      <c r="B12" s="25">
        <f>Главная!$B$7</f>
        <v>150000</v>
      </c>
      <c r="C12" s="26">
        <f>Главная!$B$8</f>
        <v>0.1</v>
      </c>
      <c r="D12">
        <f>B12*C12</f>
        <v>15000</v>
      </c>
      <c r="E12">
        <f t="shared" si="0"/>
        <v>135000</v>
      </c>
    </row>
    <row r="13" spans="1:5" x14ac:dyDescent="0.2">
      <c r="A13">
        <v>10</v>
      </c>
      <c r="B13" s="25">
        <f>Главная!$B$7</f>
        <v>150000</v>
      </c>
      <c r="C13" s="26">
        <f>Главная!$B$8</f>
        <v>0.1</v>
      </c>
      <c r="D13">
        <f>B13*C13</f>
        <v>15000</v>
      </c>
      <c r="E13">
        <f t="shared" si="0"/>
        <v>150000</v>
      </c>
    </row>
    <row r="14" spans="1:5" x14ac:dyDescent="0.2">
      <c r="A14">
        <v>11</v>
      </c>
      <c r="B14" s="25">
        <f>Главная!$B$7</f>
        <v>150000</v>
      </c>
      <c r="C14" s="26">
        <f>Главная!$B$8</f>
        <v>0.1</v>
      </c>
      <c r="D14">
        <f>B14*C14</f>
        <v>15000</v>
      </c>
      <c r="E14">
        <f t="shared" si="0"/>
        <v>165000</v>
      </c>
    </row>
    <row r="15" spans="1:5" x14ac:dyDescent="0.2">
      <c r="A15">
        <v>12</v>
      </c>
      <c r="B15" s="25">
        <f>Главная!$B$7</f>
        <v>150000</v>
      </c>
      <c r="C15" s="26">
        <f>Главная!$B$8</f>
        <v>0.1</v>
      </c>
      <c r="D15">
        <f>B15*C15</f>
        <v>15000</v>
      </c>
      <c r="E15">
        <f t="shared" si="0"/>
        <v>180000</v>
      </c>
    </row>
    <row r="16" spans="1:5" x14ac:dyDescent="0.2">
      <c r="A16">
        <v>13</v>
      </c>
      <c r="B16" s="25">
        <f>Главная!$B$7</f>
        <v>150000</v>
      </c>
      <c r="C16" s="26">
        <f>Главная!$B$8</f>
        <v>0.1</v>
      </c>
      <c r="D16">
        <f>B16*C16</f>
        <v>15000</v>
      </c>
      <c r="E16">
        <f t="shared" si="0"/>
        <v>195000</v>
      </c>
    </row>
    <row r="17" spans="1:5" x14ac:dyDescent="0.2">
      <c r="A17">
        <v>14</v>
      </c>
      <c r="B17" s="25">
        <f>Главная!$B$7</f>
        <v>150000</v>
      </c>
      <c r="C17" s="26">
        <f>Главная!$B$8</f>
        <v>0.1</v>
      </c>
      <c r="D17">
        <f>B17*C17</f>
        <v>15000</v>
      </c>
      <c r="E17">
        <f t="shared" si="0"/>
        <v>210000</v>
      </c>
    </row>
    <row r="18" spans="1:5" x14ac:dyDescent="0.2">
      <c r="A18">
        <v>15</v>
      </c>
      <c r="B18" s="25">
        <f>Главная!$B$7</f>
        <v>150000</v>
      </c>
      <c r="C18" s="26">
        <f>Главная!$B$8</f>
        <v>0.1</v>
      </c>
      <c r="D18">
        <f>B18*C18</f>
        <v>15000</v>
      </c>
      <c r="E18">
        <f t="shared" si="0"/>
        <v>225000</v>
      </c>
    </row>
    <row r="19" spans="1:5" x14ac:dyDescent="0.2">
      <c r="A19">
        <v>16</v>
      </c>
      <c r="B19" s="25">
        <f>Главная!$B$7</f>
        <v>150000</v>
      </c>
      <c r="C19" s="26">
        <f>Главная!$B$8</f>
        <v>0.1</v>
      </c>
      <c r="D19">
        <f>B19*C19</f>
        <v>15000</v>
      </c>
      <c r="E19">
        <f t="shared" si="0"/>
        <v>240000</v>
      </c>
    </row>
    <row r="20" spans="1:5" x14ac:dyDescent="0.2">
      <c r="A20">
        <v>17</v>
      </c>
      <c r="B20" s="25">
        <f>Главная!$B$7</f>
        <v>150000</v>
      </c>
      <c r="C20" s="26">
        <f>Главная!$B$8</f>
        <v>0.1</v>
      </c>
      <c r="D20">
        <f>B20*C20</f>
        <v>15000</v>
      </c>
      <c r="E20">
        <f t="shared" si="0"/>
        <v>255000</v>
      </c>
    </row>
    <row r="21" spans="1:5" x14ac:dyDescent="0.2">
      <c r="A21">
        <v>18</v>
      </c>
      <c r="B21" s="25">
        <f>Главная!$B$7</f>
        <v>150000</v>
      </c>
      <c r="C21" s="26">
        <f>Главная!$B$8</f>
        <v>0.1</v>
      </c>
      <c r="D21">
        <f>B21*C21</f>
        <v>15000</v>
      </c>
      <c r="E21">
        <f t="shared" si="0"/>
        <v>270000</v>
      </c>
    </row>
    <row r="22" spans="1:5" x14ac:dyDescent="0.2">
      <c r="A22">
        <v>19</v>
      </c>
      <c r="B22" s="25">
        <f>Главная!$B$7</f>
        <v>150000</v>
      </c>
      <c r="C22" s="26">
        <f>Главная!$B$8</f>
        <v>0.1</v>
      </c>
      <c r="D22">
        <f>B22*C22</f>
        <v>15000</v>
      </c>
      <c r="E22">
        <f t="shared" si="0"/>
        <v>285000</v>
      </c>
    </row>
    <row r="23" spans="1:5" x14ac:dyDescent="0.2">
      <c r="A23">
        <v>20</v>
      </c>
      <c r="B23" s="25">
        <f>Главная!$B$7</f>
        <v>150000</v>
      </c>
      <c r="C23" s="26">
        <f>Главная!$B$8</f>
        <v>0.1</v>
      </c>
      <c r="D23">
        <f>B23*C23</f>
        <v>15000</v>
      </c>
      <c r="E23">
        <f t="shared" si="0"/>
        <v>300000</v>
      </c>
    </row>
    <row r="24" spans="1:5" x14ac:dyDescent="0.2">
      <c r="A24">
        <v>21</v>
      </c>
      <c r="B24" s="25">
        <f>Главная!$B$7</f>
        <v>150000</v>
      </c>
      <c r="C24" s="26">
        <f>Главная!$B$8</f>
        <v>0.1</v>
      </c>
      <c r="D24">
        <f>B24*C24</f>
        <v>15000</v>
      </c>
      <c r="E24">
        <f t="shared" si="0"/>
        <v>315000</v>
      </c>
    </row>
    <row r="25" spans="1:5" x14ac:dyDescent="0.2">
      <c r="A25">
        <v>22</v>
      </c>
      <c r="B25" s="25">
        <f>Главная!$B$7</f>
        <v>150000</v>
      </c>
      <c r="C25" s="26">
        <f>Главная!$B$8</f>
        <v>0.1</v>
      </c>
      <c r="D25">
        <f>B25*C25</f>
        <v>15000</v>
      </c>
      <c r="E25">
        <f t="shared" si="0"/>
        <v>330000</v>
      </c>
    </row>
    <row r="26" spans="1:5" x14ac:dyDescent="0.2">
      <c r="A26">
        <v>23</v>
      </c>
      <c r="B26" s="25">
        <f>Главная!$B$7</f>
        <v>150000</v>
      </c>
      <c r="C26" s="26">
        <f>Главная!$B$8</f>
        <v>0.1</v>
      </c>
      <c r="D26">
        <f>B26*C26</f>
        <v>15000</v>
      </c>
      <c r="E26">
        <f t="shared" si="0"/>
        <v>345000</v>
      </c>
    </row>
    <row r="27" spans="1:5" x14ac:dyDescent="0.2">
      <c r="A27">
        <v>24</v>
      </c>
      <c r="B27" s="25">
        <f>Главная!$B$7</f>
        <v>150000</v>
      </c>
      <c r="C27" s="26">
        <f>Главная!$B$8</f>
        <v>0.1</v>
      </c>
      <c r="D27">
        <f>B27*C27</f>
        <v>15000</v>
      </c>
      <c r="E27">
        <f t="shared" si="0"/>
        <v>360000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6D1C-CD8B-2443-8736-653B904CAED6}">
  <sheetPr codeName="Лист11"/>
  <dimension ref="A1:E9"/>
  <sheetViews>
    <sheetView workbookViewId="0"/>
  </sheetViews>
  <sheetFormatPr baseColWidth="10" defaultRowHeight="16" x14ac:dyDescent="0.2"/>
  <cols>
    <col min="1" max="1" width="20.83203125" customWidth="1"/>
    <col min="2" max="5" width="15.83203125" customWidth="1"/>
  </cols>
  <sheetData>
    <row r="1" spans="1:5" ht="21" x14ac:dyDescent="0.25">
      <c r="A1" s="24" t="s">
        <v>46</v>
      </c>
    </row>
    <row r="3" spans="1:5" x14ac:dyDescent="0.2">
      <c r="A3" t="s">
        <v>2</v>
      </c>
      <c r="B3" t="s">
        <v>47</v>
      </c>
      <c r="C3" t="s">
        <v>48</v>
      </c>
      <c r="D3" t="s">
        <v>49</v>
      </c>
      <c r="E3" t="s">
        <v>50</v>
      </c>
    </row>
    <row r="4" spans="1:5" x14ac:dyDescent="0.2">
      <c r="A4" t="s">
        <v>32</v>
      </c>
      <c r="B4" s="27">
        <f>Главная!B14</f>
        <v>10000</v>
      </c>
      <c r="C4" s="27">
        <v>5000</v>
      </c>
      <c r="D4" s="27">
        <v>15000</v>
      </c>
      <c r="E4" s="27">
        <v>2000</v>
      </c>
    </row>
    <row r="5" spans="1:5" x14ac:dyDescent="0.2">
      <c r="A5" t="s">
        <v>34</v>
      </c>
      <c r="B5" s="27">
        <f>Главная!B15</f>
        <v>360000</v>
      </c>
      <c r="C5" s="27">
        <f>(Главная!B7*Главная!B8)*36</f>
        <v>540000</v>
      </c>
      <c r="D5" s="27">
        <f>(Главная!B7*1.3*Главная!B8)*36</f>
        <v>702000</v>
      </c>
      <c r="E5" s="27">
        <f>(Главная!B7*0.7*Главная!B8)*12</f>
        <v>126000</v>
      </c>
    </row>
    <row r="6" spans="1:5" x14ac:dyDescent="0.2">
      <c r="A6" t="s">
        <v>51</v>
      </c>
      <c r="B6" s="27">
        <f>B4/(Главная!B7*Главная!B8)</f>
        <v>0.66666666666666663</v>
      </c>
      <c r="C6" s="27">
        <f>C4/(Главная!B7*Главная!B8)</f>
        <v>0.33333333333333331</v>
      </c>
      <c r="D6" s="27">
        <f>D4/(Главная!B7*1.3*Главная!B8)</f>
        <v>0.76923076923076927</v>
      </c>
      <c r="E6" s="27">
        <f>E4/(Главная!B7*0.7*Главная!B8)</f>
        <v>0.19047619047619047</v>
      </c>
    </row>
    <row r="8" spans="1:5" x14ac:dyDescent="0.2">
      <c r="A8" t="s">
        <v>52</v>
      </c>
    </row>
    <row r="9" spans="1:5" x14ac:dyDescent="0.2">
      <c r="A9" t="str">
        <f>IF(B6&lt;6, "? Агрессивный рост окупается быстро", "?? Требуется оптимизация")</f>
        <v>? Агрессивный рост окупается быстро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Главная</vt:lpstr>
      <vt:lpstr>Когорты</vt:lpstr>
      <vt:lpstr>Сценарии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2026-02-11T17:08:22Z</dcterms:created>
  <dcterms:modified xsi:type="dcterms:W3CDTF">2026-02-11T17:22:36Z</dcterms:modified>
</cp:coreProperties>
</file>